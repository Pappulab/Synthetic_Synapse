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erstenruff/Downloads/"/>
    </mc:Choice>
  </mc:AlternateContent>
  <xr:revisionPtr revIDLastSave="0" documentId="13_ncr:1_{C08F6464-1601-4744-A0A0-03E1AB1B6A95}" xr6:coauthVersionLast="47" xr6:coauthVersionMax="47" xr10:uidLastSave="{00000000-0000-0000-0000-000000000000}"/>
  <bookViews>
    <workbookView xWindow="6920" yWindow="3340" windowWidth="27640" windowHeight="16940" xr2:uid="{9BE19BA5-41AC-2C4D-A7C1-40B671A4A438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Sheet1!$A$1:$E$39</definedName>
    <definedName name="_xlnm._FilterDatabase" localSheetId="1" hidden="1">Sheet2!$A$1:$B$70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2" i="2"/>
</calcChain>
</file>

<file path=xl/sharedStrings.xml><?xml version="1.0" encoding="utf-8"?>
<sst xmlns="http://schemas.openxmlformats.org/spreadsheetml/2006/main" count="218" uniqueCount="64">
  <si>
    <t>Domains</t>
  </si>
  <si>
    <t>PDZ</t>
  </si>
  <si>
    <t>PID</t>
  </si>
  <si>
    <t>RGS</t>
  </si>
  <si>
    <t>RBD</t>
  </si>
  <si>
    <t>GoLoco</t>
  </si>
  <si>
    <t>PB1</t>
  </si>
  <si>
    <t>Pseudo-CRIB</t>
  </si>
  <si>
    <t>Flavodoxin-like</t>
  </si>
  <si>
    <t>SAM</t>
  </si>
  <si>
    <t>CRIC</t>
  </si>
  <si>
    <t>DUF1170</t>
  </si>
  <si>
    <t>PH</t>
  </si>
  <si>
    <t>DH</t>
  </si>
  <si>
    <t>WW</t>
  </si>
  <si>
    <t>SH3</t>
  </si>
  <si>
    <t>L27</t>
  </si>
  <si>
    <t>Rap-GAP</t>
  </si>
  <si>
    <t>RabBD</t>
  </si>
  <si>
    <t>C2</t>
  </si>
  <si>
    <t>ASD1</t>
  </si>
  <si>
    <t>ASD2</t>
  </si>
  <si>
    <t>DIX</t>
  </si>
  <si>
    <t>DEP</t>
  </si>
  <si>
    <t>FH2</t>
  </si>
  <si>
    <t>ZU5</t>
  </si>
  <si>
    <t>KIND</t>
  </si>
  <si>
    <t>FERM</t>
  </si>
  <si>
    <t>Ras-GEF</t>
  </si>
  <si>
    <t>Ras-associating</t>
  </si>
  <si>
    <t>Rho-GAP</t>
  </si>
  <si>
    <t>FHA</t>
  </si>
  <si>
    <t>Dilute</t>
  </si>
  <si>
    <t>LIM zinc-binding</t>
  </si>
  <si>
    <t>Guanylate kinase-like</t>
  </si>
  <si>
    <t>Protein kinase</t>
  </si>
  <si>
    <t>N-terminal Ras-GEF</t>
  </si>
  <si>
    <t>FAD-binding FR-type</t>
  </si>
  <si>
    <t>Protein Binding</t>
  </si>
  <si>
    <t>Calponin-homology (CH)</t>
  </si>
  <si>
    <t>Domain</t>
  </si>
  <si>
    <t>Homo-oligomer</t>
  </si>
  <si>
    <t>Catalytic</t>
  </si>
  <si>
    <t>Other Function</t>
  </si>
  <si>
    <t>X</t>
  </si>
  <si>
    <t>unknown</t>
  </si>
  <si>
    <t>RNA binding</t>
  </si>
  <si>
    <t>O</t>
  </si>
  <si>
    <t>mostly lipid binding</t>
  </si>
  <si>
    <t>actin binding</t>
  </si>
  <si>
    <t>Binds Cdc42 and Rho</t>
  </si>
  <si>
    <t>lipid binding</t>
  </si>
  <si>
    <t>guanine nucleotide exchange</t>
  </si>
  <si>
    <t>cofactor binding</t>
  </si>
  <si>
    <t>PIP2, basic peptide binding</t>
  </si>
  <si>
    <t>pThr binding</t>
  </si>
  <si>
    <t>FMN binding</t>
  </si>
  <si>
    <t>GDP-bound G-alpha subunit</t>
  </si>
  <si>
    <t>pY binding</t>
  </si>
  <si>
    <t>Cdc42/Rac binding</t>
  </si>
  <si>
    <t>GTPase activating</t>
  </si>
  <si>
    <t>GTP-bound Ga subunit. Catalyze hydrolysis</t>
  </si>
  <si>
    <t>Activate Rho</t>
  </si>
  <si>
    <t>Pro-rich motifs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</si>
</sst>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72A60-04D7-BA4E-9CE1-B48AEC35BFC1}">
  <dimension ref="A1:E39"/>
  <sheetViews>
    <sheetView tabSelected="1" workbookViewId="0">
      <selection activeCell="G13" sqref="G13"/>
    </sheetView>
  </sheetViews>
  <sheetFormatPr baseColWidth="10" defaultRowHeight="16" x14ac:dyDescent="0.2"/>
  <cols>
    <col min="1" max="1" width="21.5" bestFit="1" customWidth="1"/>
    <col min="2" max="2" width="13.33203125" bestFit="1" customWidth="1"/>
    <col min="3" max="3" width="14" bestFit="1" customWidth="1"/>
    <col min="4" max="4" width="14" customWidth="1"/>
    <col min="5" max="5" width="36" bestFit="1" customWidth="1"/>
  </cols>
  <sheetData>
    <row r="1" spans="1:5" x14ac:dyDescent="0.2">
      <c r="A1" s="1" t="s">
        <v>0</v>
      </c>
      <c r="B1" s="1" t="s">
        <v>38</v>
      </c>
      <c r="C1" t="s">
        <v>41</v>
      </c>
      <c r="D1" t="s">
        <v>42</v>
      </c>
      <c r="E1" t="s">
        <v>43</v>
      </c>
    </row>
    <row r="2" spans="1:5" x14ac:dyDescent="0.2">
      <c r="A2" t="s">
        <v>20</v>
      </c>
      <c r="B2" t="s">
        <v>44</v>
      </c>
      <c r="C2" t="s">
        <v>44</v>
      </c>
      <c r="D2" t="s">
        <v>44</v>
      </c>
      <c r="E2" t="s">
        <v>45</v>
      </c>
    </row>
    <row r="3" spans="1:5" x14ac:dyDescent="0.2">
      <c r="A3" t="s">
        <v>21</v>
      </c>
      <c r="B3" t="s">
        <v>44</v>
      </c>
      <c r="C3" t="s">
        <v>44</v>
      </c>
      <c r="D3" t="s">
        <v>44</v>
      </c>
      <c r="E3" t="s">
        <v>46</v>
      </c>
    </row>
    <row r="4" spans="1:5" x14ac:dyDescent="0.2">
      <c r="A4" t="s">
        <v>19</v>
      </c>
      <c r="B4" t="s">
        <v>47</v>
      </c>
      <c r="C4" t="s">
        <v>44</v>
      </c>
      <c r="D4" t="s">
        <v>44</v>
      </c>
      <c r="E4" t="s">
        <v>48</v>
      </c>
    </row>
    <row r="5" spans="1:5" x14ac:dyDescent="0.2">
      <c r="A5" t="s">
        <v>39</v>
      </c>
      <c r="B5" t="s">
        <v>47</v>
      </c>
      <c r="C5" t="s">
        <v>44</v>
      </c>
      <c r="D5" t="s">
        <v>44</v>
      </c>
      <c r="E5" t="s">
        <v>49</v>
      </c>
    </row>
    <row r="6" spans="1:5" x14ac:dyDescent="0.2">
      <c r="A6" t="s">
        <v>10</v>
      </c>
      <c r="B6" t="s">
        <v>47</v>
      </c>
      <c r="C6" t="s">
        <v>44</v>
      </c>
      <c r="D6" t="s">
        <v>44</v>
      </c>
      <c r="E6" t="s">
        <v>50</v>
      </c>
    </row>
    <row r="7" spans="1:5" x14ac:dyDescent="0.2">
      <c r="A7" t="s">
        <v>23</v>
      </c>
      <c r="B7" t="s">
        <v>44</v>
      </c>
      <c r="C7" t="s">
        <v>44</v>
      </c>
      <c r="D7" t="s">
        <v>44</v>
      </c>
      <c r="E7" t="s">
        <v>51</v>
      </c>
    </row>
    <row r="8" spans="1:5" x14ac:dyDescent="0.2">
      <c r="A8" t="s">
        <v>13</v>
      </c>
      <c r="B8" t="s">
        <v>47</v>
      </c>
      <c r="C8" t="s">
        <v>44</v>
      </c>
      <c r="D8" t="s">
        <v>47</v>
      </c>
      <c r="E8" t="s">
        <v>52</v>
      </c>
    </row>
    <row r="9" spans="1:5" x14ac:dyDescent="0.2">
      <c r="A9" t="s">
        <v>32</v>
      </c>
      <c r="B9" t="s">
        <v>47</v>
      </c>
      <c r="C9" t="s">
        <v>47</v>
      </c>
      <c r="D9" t="s">
        <v>44</v>
      </c>
    </row>
    <row r="10" spans="1:5" x14ac:dyDescent="0.2">
      <c r="A10" t="s">
        <v>22</v>
      </c>
      <c r="B10" t="s">
        <v>47</v>
      </c>
      <c r="C10" t="s">
        <v>47</v>
      </c>
      <c r="D10" t="s">
        <v>44</v>
      </c>
    </row>
    <row r="11" spans="1:5" x14ac:dyDescent="0.2">
      <c r="A11" t="s">
        <v>11</v>
      </c>
      <c r="B11" t="s">
        <v>44</v>
      </c>
      <c r="C11" t="s">
        <v>44</v>
      </c>
      <c r="D11" t="s">
        <v>44</v>
      </c>
      <c r="E11" t="s">
        <v>45</v>
      </c>
    </row>
    <row r="12" spans="1:5" x14ac:dyDescent="0.2">
      <c r="A12" t="s">
        <v>37</v>
      </c>
      <c r="B12" t="s">
        <v>44</v>
      </c>
      <c r="C12" t="s">
        <v>44</v>
      </c>
      <c r="D12" t="s">
        <v>47</v>
      </c>
      <c r="E12" t="s">
        <v>53</v>
      </c>
    </row>
    <row r="13" spans="1:5" x14ac:dyDescent="0.2">
      <c r="A13" t="s">
        <v>27</v>
      </c>
      <c r="B13" t="s">
        <v>47</v>
      </c>
      <c r="C13" t="s">
        <v>44</v>
      </c>
      <c r="D13" t="s">
        <v>44</v>
      </c>
      <c r="E13" t="s">
        <v>54</v>
      </c>
    </row>
    <row r="14" spans="1:5" x14ac:dyDescent="0.2">
      <c r="A14" t="s">
        <v>24</v>
      </c>
      <c r="B14" t="s">
        <v>47</v>
      </c>
      <c r="C14" t="s">
        <v>44</v>
      </c>
      <c r="D14" t="s">
        <v>44</v>
      </c>
      <c r="E14" t="s">
        <v>49</v>
      </c>
    </row>
    <row r="15" spans="1:5" x14ac:dyDescent="0.2">
      <c r="A15" t="s">
        <v>31</v>
      </c>
      <c r="B15" t="s">
        <v>47</v>
      </c>
      <c r="C15" t="s">
        <v>44</v>
      </c>
      <c r="D15" t="s">
        <v>44</v>
      </c>
      <c r="E15" t="s">
        <v>55</v>
      </c>
    </row>
    <row r="16" spans="1:5" x14ac:dyDescent="0.2">
      <c r="A16" t="s">
        <v>8</v>
      </c>
      <c r="B16" t="s">
        <v>44</v>
      </c>
      <c r="C16" t="s">
        <v>44</v>
      </c>
      <c r="D16" t="s">
        <v>44</v>
      </c>
      <c r="E16" t="s">
        <v>56</v>
      </c>
    </row>
    <row r="17" spans="1:5" x14ac:dyDescent="0.2">
      <c r="A17" t="s">
        <v>5</v>
      </c>
      <c r="B17" t="s">
        <v>47</v>
      </c>
      <c r="C17" t="s">
        <v>44</v>
      </c>
      <c r="D17" t="s">
        <v>44</v>
      </c>
      <c r="E17" t="s">
        <v>57</v>
      </c>
    </row>
    <row r="18" spans="1:5" x14ac:dyDescent="0.2">
      <c r="A18" t="s">
        <v>34</v>
      </c>
      <c r="B18" t="s">
        <v>47</v>
      </c>
      <c r="C18" t="s">
        <v>44</v>
      </c>
      <c r="D18" t="s">
        <v>44</v>
      </c>
    </row>
    <row r="19" spans="1:5" x14ac:dyDescent="0.2">
      <c r="A19" t="s">
        <v>26</v>
      </c>
      <c r="B19" t="s">
        <v>44</v>
      </c>
      <c r="C19" t="s">
        <v>44</v>
      </c>
      <c r="D19" t="s">
        <v>44</v>
      </c>
      <c r="E19" t="s">
        <v>45</v>
      </c>
    </row>
    <row r="20" spans="1:5" x14ac:dyDescent="0.2">
      <c r="A20" t="s">
        <v>16</v>
      </c>
      <c r="B20" t="s">
        <v>47</v>
      </c>
      <c r="C20" t="s">
        <v>44</v>
      </c>
      <c r="D20" t="s">
        <v>44</v>
      </c>
    </row>
    <row r="21" spans="1:5" x14ac:dyDescent="0.2">
      <c r="A21" t="s">
        <v>33</v>
      </c>
      <c r="B21" t="s">
        <v>47</v>
      </c>
      <c r="C21" t="s">
        <v>47</v>
      </c>
      <c r="D21" t="s">
        <v>44</v>
      </c>
    </row>
    <row r="22" spans="1:5" x14ac:dyDescent="0.2">
      <c r="A22" t="s">
        <v>36</v>
      </c>
      <c r="B22" t="s">
        <v>47</v>
      </c>
      <c r="C22" t="s">
        <v>44</v>
      </c>
      <c r="D22" t="s">
        <v>47</v>
      </c>
      <c r="E22" t="s">
        <v>52</v>
      </c>
    </row>
    <row r="23" spans="1:5" x14ac:dyDescent="0.2">
      <c r="A23" t="s">
        <v>6</v>
      </c>
      <c r="B23" t="s">
        <v>47</v>
      </c>
      <c r="C23" t="s">
        <v>44</v>
      </c>
      <c r="D23" t="s">
        <v>44</v>
      </c>
    </row>
    <row r="24" spans="1:5" x14ac:dyDescent="0.2">
      <c r="A24" t="s">
        <v>1</v>
      </c>
      <c r="B24" t="s">
        <v>47</v>
      </c>
      <c r="C24" t="s">
        <v>44</v>
      </c>
      <c r="D24" t="s">
        <v>44</v>
      </c>
    </row>
    <row r="25" spans="1:5" x14ac:dyDescent="0.2">
      <c r="A25" t="s">
        <v>12</v>
      </c>
      <c r="B25" t="s">
        <v>47</v>
      </c>
      <c r="C25" t="s">
        <v>44</v>
      </c>
      <c r="D25" t="s">
        <v>44</v>
      </c>
      <c r="E25" t="s">
        <v>48</v>
      </c>
    </row>
    <row r="26" spans="1:5" x14ac:dyDescent="0.2">
      <c r="A26" t="s">
        <v>2</v>
      </c>
      <c r="B26" t="s">
        <v>47</v>
      </c>
      <c r="C26" t="s">
        <v>44</v>
      </c>
      <c r="D26" t="s">
        <v>44</v>
      </c>
      <c r="E26" t="s">
        <v>58</v>
      </c>
    </row>
    <row r="27" spans="1:5" x14ac:dyDescent="0.2">
      <c r="A27" t="s">
        <v>35</v>
      </c>
      <c r="B27" t="s">
        <v>47</v>
      </c>
      <c r="C27" t="s">
        <v>44</v>
      </c>
      <c r="D27" t="s">
        <v>47</v>
      </c>
    </row>
    <row r="28" spans="1:5" x14ac:dyDescent="0.2">
      <c r="A28" t="s">
        <v>7</v>
      </c>
      <c r="B28" t="s">
        <v>47</v>
      </c>
      <c r="C28" t="s">
        <v>44</v>
      </c>
      <c r="D28" t="s">
        <v>44</v>
      </c>
      <c r="E28" t="s">
        <v>59</v>
      </c>
    </row>
    <row r="29" spans="1:5" x14ac:dyDescent="0.2">
      <c r="A29" t="s">
        <v>18</v>
      </c>
      <c r="B29" t="s">
        <v>47</v>
      </c>
      <c r="C29" t="s">
        <v>44</v>
      </c>
      <c r="D29" t="s">
        <v>44</v>
      </c>
    </row>
    <row r="30" spans="1:5" x14ac:dyDescent="0.2">
      <c r="A30" t="s">
        <v>17</v>
      </c>
      <c r="B30" t="s">
        <v>47</v>
      </c>
      <c r="C30" t="s">
        <v>44</v>
      </c>
      <c r="D30" t="s">
        <v>47</v>
      </c>
      <c r="E30" t="s">
        <v>60</v>
      </c>
    </row>
    <row r="31" spans="1:5" x14ac:dyDescent="0.2">
      <c r="A31" t="s">
        <v>29</v>
      </c>
      <c r="B31" t="s">
        <v>47</v>
      </c>
      <c r="C31" t="s">
        <v>44</v>
      </c>
      <c r="D31" t="s">
        <v>44</v>
      </c>
    </row>
    <row r="32" spans="1:5" x14ac:dyDescent="0.2">
      <c r="A32" t="s">
        <v>28</v>
      </c>
      <c r="B32" t="s">
        <v>47</v>
      </c>
      <c r="C32" t="s">
        <v>44</v>
      </c>
      <c r="D32" t="s">
        <v>47</v>
      </c>
      <c r="E32" t="s">
        <v>52</v>
      </c>
    </row>
    <row r="33" spans="1:5" x14ac:dyDescent="0.2">
      <c r="A33" t="s">
        <v>4</v>
      </c>
      <c r="B33" t="s">
        <v>47</v>
      </c>
      <c r="C33" t="s">
        <v>44</v>
      </c>
      <c r="D33" t="s">
        <v>44</v>
      </c>
    </row>
    <row r="34" spans="1:5" x14ac:dyDescent="0.2">
      <c r="A34" t="s">
        <v>3</v>
      </c>
      <c r="B34" t="s">
        <v>47</v>
      </c>
      <c r="C34" t="s">
        <v>44</v>
      </c>
      <c r="D34" t="s">
        <v>47</v>
      </c>
      <c r="E34" t="s">
        <v>61</v>
      </c>
    </row>
    <row r="35" spans="1:5" x14ac:dyDescent="0.2">
      <c r="A35" t="s">
        <v>30</v>
      </c>
      <c r="B35" t="s">
        <v>47</v>
      </c>
      <c r="C35" t="s">
        <v>44</v>
      </c>
      <c r="D35" t="s">
        <v>47</v>
      </c>
      <c r="E35" t="s">
        <v>62</v>
      </c>
    </row>
    <row r="36" spans="1:5" x14ac:dyDescent="0.2">
      <c r="A36" t="s">
        <v>9</v>
      </c>
      <c r="B36" t="s">
        <v>47</v>
      </c>
      <c r="C36" t="s">
        <v>47</v>
      </c>
      <c r="D36" t="s">
        <v>44</v>
      </c>
    </row>
    <row r="37" spans="1:5" x14ac:dyDescent="0.2">
      <c r="A37" t="s">
        <v>15</v>
      </c>
      <c r="B37" t="s">
        <v>47</v>
      </c>
      <c r="C37" t="s">
        <v>44</v>
      </c>
      <c r="D37" t="s">
        <v>44</v>
      </c>
      <c r="E37" t="s">
        <v>63</v>
      </c>
    </row>
    <row r="38" spans="1:5" x14ac:dyDescent="0.2">
      <c r="A38" t="s">
        <v>14</v>
      </c>
      <c r="B38" t="s">
        <v>47</v>
      </c>
      <c r="C38" t="s">
        <v>44</v>
      </c>
      <c r="D38" t="s">
        <v>44</v>
      </c>
      <c r="E38" t="s">
        <v>63</v>
      </c>
    </row>
    <row r="39" spans="1:5" x14ac:dyDescent="0.2">
      <c r="A39" t="s">
        <v>25</v>
      </c>
      <c r="B39" t="s">
        <v>47</v>
      </c>
      <c r="C39" t="s">
        <v>44</v>
      </c>
      <c r="D39" t="s">
        <v>44</v>
      </c>
    </row>
  </sheetData>
  <autoFilter ref="A1:E39" xr:uid="{7E472A60-04D7-BA4E-9CE1-B48AEC35BFC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2F7D8-8D9A-3144-AB84-0F1151114244}">
  <dimension ref="A1:B36"/>
  <sheetViews>
    <sheetView workbookViewId="0">
      <selection activeCell="K15" sqref="K15"/>
    </sheetView>
  </sheetViews>
  <sheetFormatPr baseColWidth="10" defaultRowHeight="16" x14ac:dyDescent="0.2"/>
  <cols>
    <col min="1" max="1" width="24.33203125" bestFit="1" customWidth="1"/>
    <col min="2" max="2" width="15.83203125" bestFit="1" customWidth="1"/>
  </cols>
  <sheetData>
    <row r="1" spans="1:2" x14ac:dyDescent="0.2">
      <c r="A1" t="s">
        <v>40</v>
      </c>
    </row>
    <row r="2" spans="1:2" x14ac:dyDescent="0.2">
      <c r="A2" s="2" t="s">
        <v>20</v>
      </c>
      <c r="B2">
        <f>SUMPRODUCT(COUNTIF(Sheet1!A:A,A2))</f>
        <v>1</v>
      </c>
    </row>
    <row r="3" spans="1:2" x14ac:dyDescent="0.2">
      <c r="A3" s="2" t="s">
        <v>21</v>
      </c>
      <c r="B3">
        <f>SUMPRODUCT(COUNTIF(Sheet1!A:A,A3))</f>
        <v>1</v>
      </c>
    </row>
    <row r="4" spans="1:2" x14ac:dyDescent="0.2">
      <c r="A4" s="2" t="s">
        <v>19</v>
      </c>
      <c r="B4">
        <f>SUMPRODUCT(COUNTIF(Sheet1!A:A,A4))</f>
        <v>1</v>
      </c>
    </row>
    <row r="5" spans="1:2" x14ac:dyDescent="0.2">
      <c r="A5" s="2" t="s">
        <v>39</v>
      </c>
      <c r="B5">
        <f>SUMPRODUCT(COUNTIF(Sheet1!A:A,A5))</f>
        <v>1</v>
      </c>
    </row>
    <row r="6" spans="1:2" x14ac:dyDescent="0.2">
      <c r="A6" s="2" t="s">
        <v>10</v>
      </c>
      <c r="B6">
        <f>SUMPRODUCT(COUNTIF(Sheet1!A:A,A6))</f>
        <v>1</v>
      </c>
    </row>
    <row r="7" spans="1:2" x14ac:dyDescent="0.2">
      <c r="A7" s="2" t="s">
        <v>23</v>
      </c>
      <c r="B7">
        <f>SUMPRODUCT(COUNTIF(Sheet1!A:A,A7))</f>
        <v>1</v>
      </c>
    </row>
    <row r="8" spans="1:2" x14ac:dyDescent="0.2">
      <c r="A8" s="2" t="s">
        <v>13</v>
      </c>
      <c r="B8">
        <f>SUMPRODUCT(COUNTIF(Sheet1!A:A,A8))</f>
        <v>1</v>
      </c>
    </row>
    <row r="9" spans="1:2" x14ac:dyDescent="0.2">
      <c r="A9" s="2" t="s">
        <v>32</v>
      </c>
      <c r="B9">
        <f>SUMPRODUCT(COUNTIF(Sheet1!A:A,A9))</f>
        <v>1</v>
      </c>
    </row>
    <row r="10" spans="1:2" x14ac:dyDescent="0.2">
      <c r="A10" s="2" t="s">
        <v>22</v>
      </c>
      <c r="B10">
        <f>SUMPRODUCT(COUNTIF(Sheet1!A:A,A10))</f>
        <v>1</v>
      </c>
    </row>
    <row r="11" spans="1:2" x14ac:dyDescent="0.2">
      <c r="A11" s="2" t="s">
        <v>11</v>
      </c>
      <c r="B11">
        <f>SUMPRODUCT(COUNTIF(Sheet1!A:A,A11))</f>
        <v>1</v>
      </c>
    </row>
    <row r="12" spans="1:2" x14ac:dyDescent="0.2">
      <c r="A12" s="2" t="s">
        <v>37</v>
      </c>
      <c r="B12">
        <f>SUMPRODUCT(COUNTIF(Sheet1!A:A,A12))</f>
        <v>1</v>
      </c>
    </row>
    <row r="13" spans="1:2" x14ac:dyDescent="0.2">
      <c r="A13" s="2" t="s">
        <v>27</v>
      </c>
      <c r="B13">
        <f>SUMPRODUCT(COUNTIF(Sheet1!A:A,A13))</f>
        <v>1</v>
      </c>
    </row>
    <row r="14" spans="1:2" x14ac:dyDescent="0.2">
      <c r="A14" s="2" t="s">
        <v>24</v>
      </c>
      <c r="B14">
        <f>SUMPRODUCT(COUNTIF(Sheet1!A:A,A14))</f>
        <v>1</v>
      </c>
    </row>
    <row r="15" spans="1:2" x14ac:dyDescent="0.2">
      <c r="A15" s="2" t="s">
        <v>31</v>
      </c>
      <c r="B15">
        <f>SUMPRODUCT(COUNTIF(Sheet1!A:A,A15))</f>
        <v>1</v>
      </c>
    </row>
    <row r="16" spans="1:2" x14ac:dyDescent="0.2">
      <c r="A16" s="2" t="s">
        <v>8</v>
      </c>
      <c r="B16">
        <f>SUMPRODUCT(COUNTIF(Sheet1!A:A,A16))</f>
        <v>1</v>
      </c>
    </row>
    <row r="17" spans="1:2" x14ac:dyDescent="0.2">
      <c r="A17" s="2" t="s">
        <v>5</v>
      </c>
      <c r="B17">
        <f>SUMPRODUCT(COUNTIF(Sheet1!A:A,A17))</f>
        <v>1</v>
      </c>
    </row>
    <row r="18" spans="1:2" x14ac:dyDescent="0.2">
      <c r="A18" s="2" t="s">
        <v>34</v>
      </c>
      <c r="B18">
        <f>SUMPRODUCT(COUNTIF(Sheet1!A:A,A18))</f>
        <v>1</v>
      </c>
    </row>
    <row r="19" spans="1:2" x14ac:dyDescent="0.2">
      <c r="A19" s="2" t="s">
        <v>33</v>
      </c>
      <c r="B19">
        <f>SUMPRODUCT(COUNTIF(Sheet1!A:A,A19))</f>
        <v>1</v>
      </c>
    </row>
    <row r="20" spans="1:2" x14ac:dyDescent="0.2">
      <c r="A20" s="2" t="s">
        <v>36</v>
      </c>
      <c r="B20">
        <f>SUMPRODUCT(COUNTIF(Sheet1!A:A,A20))</f>
        <v>1</v>
      </c>
    </row>
    <row r="21" spans="1:2" x14ac:dyDescent="0.2">
      <c r="A21" s="2" t="s">
        <v>6</v>
      </c>
      <c r="B21">
        <f>SUMPRODUCT(COUNTIF(Sheet1!A:A,A21))</f>
        <v>1</v>
      </c>
    </row>
    <row r="22" spans="1:2" x14ac:dyDescent="0.2">
      <c r="A22" s="2" t="s">
        <v>1</v>
      </c>
      <c r="B22">
        <f>SUMPRODUCT(COUNTIF(Sheet1!A:A,A22))</f>
        <v>1</v>
      </c>
    </row>
    <row r="23" spans="1:2" x14ac:dyDescent="0.2">
      <c r="A23" s="2" t="s">
        <v>12</v>
      </c>
      <c r="B23">
        <f>SUMPRODUCT(COUNTIF(Sheet1!A:A,A23))</f>
        <v>1</v>
      </c>
    </row>
    <row r="24" spans="1:2" x14ac:dyDescent="0.2">
      <c r="A24" s="2" t="s">
        <v>2</v>
      </c>
      <c r="B24">
        <f>SUMPRODUCT(COUNTIF(Sheet1!A:A,A24))</f>
        <v>1</v>
      </c>
    </row>
    <row r="25" spans="1:2" x14ac:dyDescent="0.2">
      <c r="A25" s="2" t="s">
        <v>7</v>
      </c>
      <c r="B25">
        <f>SUMPRODUCT(COUNTIF(Sheet1!A:A,A25))</f>
        <v>1</v>
      </c>
    </row>
    <row r="26" spans="1:2" x14ac:dyDescent="0.2">
      <c r="A26" s="2" t="s">
        <v>18</v>
      </c>
      <c r="B26">
        <f>SUMPRODUCT(COUNTIF(Sheet1!A:A,A26))</f>
        <v>1</v>
      </c>
    </row>
    <row r="27" spans="1:2" x14ac:dyDescent="0.2">
      <c r="A27" s="2" t="s">
        <v>17</v>
      </c>
      <c r="B27">
        <f>SUMPRODUCT(COUNTIF(Sheet1!A:A,A27))</f>
        <v>1</v>
      </c>
    </row>
    <row r="28" spans="1:2" x14ac:dyDescent="0.2">
      <c r="A28" s="2" t="s">
        <v>29</v>
      </c>
      <c r="B28">
        <f>SUMPRODUCT(COUNTIF(Sheet1!A:A,A28))</f>
        <v>1</v>
      </c>
    </row>
    <row r="29" spans="1:2" x14ac:dyDescent="0.2">
      <c r="A29" s="2" t="s">
        <v>28</v>
      </c>
      <c r="B29">
        <f>SUMPRODUCT(COUNTIF(Sheet1!A:A,A29))</f>
        <v>1</v>
      </c>
    </row>
    <row r="30" spans="1:2" x14ac:dyDescent="0.2">
      <c r="A30" s="2" t="s">
        <v>4</v>
      </c>
      <c r="B30">
        <f>SUMPRODUCT(COUNTIF(Sheet1!A:A,A30))</f>
        <v>1</v>
      </c>
    </row>
    <row r="31" spans="1:2" x14ac:dyDescent="0.2">
      <c r="A31" s="2" t="s">
        <v>3</v>
      </c>
      <c r="B31">
        <f>SUMPRODUCT(COUNTIF(Sheet1!A:A,A31))</f>
        <v>1</v>
      </c>
    </row>
    <row r="32" spans="1:2" x14ac:dyDescent="0.2">
      <c r="A32" s="2" t="s">
        <v>30</v>
      </c>
      <c r="B32">
        <f>SUMPRODUCT(COUNTIF(Sheet1!A:A,A32))</f>
        <v>1</v>
      </c>
    </row>
    <row r="33" spans="1:2" x14ac:dyDescent="0.2">
      <c r="A33" s="2" t="s">
        <v>9</v>
      </c>
      <c r="B33">
        <f>SUMPRODUCT(COUNTIF(Sheet1!A:A,A33))</f>
        <v>1</v>
      </c>
    </row>
    <row r="34" spans="1:2" x14ac:dyDescent="0.2">
      <c r="A34" s="2" t="s">
        <v>15</v>
      </c>
      <c r="B34">
        <f>SUMPRODUCT(COUNTIF(Sheet1!A:A,A34))</f>
        <v>1</v>
      </c>
    </row>
    <row r="35" spans="1:2" x14ac:dyDescent="0.2">
      <c r="A35" s="2" t="s">
        <v>14</v>
      </c>
      <c r="B35">
        <f>SUMPRODUCT(COUNTIF(Sheet1!A:A,A35))</f>
        <v>1</v>
      </c>
    </row>
    <row r="36" spans="1:2" x14ac:dyDescent="0.2">
      <c r="A36" s="2" t="s">
        <v>25</v>
      </c>
      <c r="B36">
        <f>SUMPRODUCT(COUNTIF(Sheet1!A:A,A36))</f>
        <v>1</v>
      </c>
    </row>
  </sheetData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A2B1C-1C8B-7147-9924-BE7A71DE26D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Ruff, Kiersten</dc:creator>
  <cp:lastModifiedBy>Ruff, Kiersten</cp:lastModifiedBy>
  <dcterms:created xsi:type="dcterms:W3CDTF">2025-09-25T15:18:49Z</dcterms:created>
  <dcterms:modified xsi:type="dcterms:W3CDTF">2026-09-23T20:32:56Z</dcterms:modified>
</cp:coreProperties>
</file>